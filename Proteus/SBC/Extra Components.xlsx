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_Programming\_DOCS\Schematics\NewbrainSBC\"/>
    </mc:Choice>
  </mc:AlternateContent>
  <xr:revisionPtr revIDLastSave="0" documentId="13_ncr:1_{96060087-FCF8-4071-BB9D-8586EB8B40D7}" xr6:coauthVersionLast="47" xr6:coauthVersionMax="47" xr10:uidLastSave="{00000000-0000-0000-0000-000000000000}"/>
  <bookViews>
    <workbookView xWindow="-120" yWindow="-120" windowWidth="24240" windowHeight="13020" xr2:uid="{A675CB26-9678-4454-B0A5-35F345BC1D9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J29" i="1"/>
  <c r="J30" i="1"/>
  <c r="J31" i="1"/>
  <c r="J14" i="1"/>
  <c r="D14" i="1"/>
  <c r="F14" i="1"/>
  <c r="I12" i="1"/>
  <c r="J12" i="1" s="1"/>
  <c r="D12" i="1" s="1"/>
  <c r="F12" i="1" s="1"/>
  <c r="I31" i="1"/>
  <c r="I30" i="1"/>
  <c r="F31" i="1"/>
  <c r="G30" i="1"/>
  <c r="D5" i="1"/>
  <c r="F5" i="1" s="1"/>
  <c r="D24" i="1"/>
  <c r="F24" i="1" s="1"/>
  <c r="D25" i="1"/>
  <c r="F25" i="1" s="1"/>
  <c r="D3" i="1"/>
  <c r="F3" i="1" s="1"/>
  <c r="I22" i="1"/>
  <c r="I17" i="1"/>
  <c r="J17" i="1" s="1"/>
  <c r="D17" i="1" s="1"/>
  <c r="F17" i="1" s="1"/>
  <c r="I19" i="1"/>
  <c r="J19" i="1" s="1"/>
  <c r="D19" i="1" s="1"/>
  <c r="F19" i="1" s="1"/>
  <c r="I20" i="1"/>
  <c r="J20" i="1" s="1"/>
  <c r="D20" i="1" s="1"/>
  <c r="F20" i="1" s="1"/>
  <c r="I16" i="1"/>
  <c r="J16" i="1" s="1"/>
  <c r="D16" i="1" s="1"/>
  <c r="F16" i="1" s="1"/>
  <c r="I18" i="1"/>
  <c r="J18" i="1" s="1"/>
  <c r="D18" i="1" s="1"/>
  <c r="F18" i="1" s="1"/>
  <c r="I10" i="1"/>
  <c r="J10" i="1" s="1"/>
  <c r="D10" i="1" s="1"/>
  <c r="F10" i="1" s="1"/>
  <c r="J11" i="1"/>
  <c r="D11" i="1" s="1"/>
  <c r="F11" i="1" s="1"/>
  <c r="I4" i="1"/>
  <c r="J4" i="1" s="1"/>
  <c r="D4" i="1" s="1"/>
  <c r="F4" i="1" s="1"/>
  <c r="J21" i="1"/>
  <c r="D21" i="1" s="1"/>
  <c r="F21" i="1" s="1"/>
  <c r="J23" i="1"/>
  <c r="D23" i="1" s="1"/>
  <c r="F23" i="1" s="1"/>
  <c r="J6" i="1"/>
  <c r="D6" i="1" s="1"/>
  <c r="F6" i="1" s="1"/>
  <c r="J7" i="1"/>
  <c r="D7" i="1" s="1"/>
  <c r="F7" i="1" s="1"/>
  <c r="J8" i="1"/>
  <c r="D8" i="1" s="1"/>
  <c r="F8" i="1" s="1"/>
  <c r="J9" i="1"/>
  <c r="D9" i="1" s="1"/>
  <c r="F9" i="1" s="1"/>
  <c r="J13" i="1"/>
  <c r="D13" i="1" s="1"/>
  <c r="F13" i="1" s="1"/>
  <c r="J15" i="1"/>
  <c r="D15" i="1" s="1"/>
  <c r="F15" i="1" s="1"/>
  <c r="I26" i="1" l="1"/>
  <c r="I29" i="1" s="1"/>
  <c r="I33" i="1" s="1"/>
  <c r="J22" i="1"/>
  <c r="D22" i="1" s="1"/>
  <c r="F22" i="1" s="1"/>
  <c r="F26" i="1" s="1"/>
  <c r="F29" i="1" s="1"/>
  <c r="F33" i="1" s="1"/>
  <c r="F27" i="1" l="1"/>
</calcChain>
</file>

<file path=xl/sharedStrings.xml><?xml version="1.0" encoding="utf-8"?>
<sst xmlns="http://schemas.openxmlformats.org/spreadsheetml/2006/main" count="183" uniqueCount="127">
  <si>
    <t>Part</t>
  </si>
  <si>
    <t>Descr</t>
  </si>
  <si>
    <t>U30</t>
  </si>
  <si>
    <t>Cost</t>
  </si>
  <si>
    <t>Quant</t>
  </si>
  <si>
    <t>Total</t>
  </si>
  <si>
    <t>Type</t>
  </si>
  <si>
    <t>SK12D07VG3</t>
  </si>
  <si>
    <t>AU-Y1005-R</t>
  </si>
  <si>
    <t>Usb-A</t>
  </si>
  <si>
    <t>J16,J19,J5</t>
  </si>
  <si>
    <t>Fem 1x4</t>
  </si>
  <si>
    <t>ARDUINO-SIL4</t>
  </si>
  <si>
    <t>J22,J23,J15</t>
  </si>
  <si>
    <t>J18,J21</t>
  </si>
  <si>
    <t>Fem 2X4 RA</t>
  </si>
  <si>
    <t>SSW-104-22-S-D-RA</t>
  </si>
  <si>
    <t>J14</t>
  </si>
  <si>
    <t xml:space="preserve">HDMI </t>
  </si>
  <si>
    <t>47151-1061</t>
  </si>
  <si>
    <t>10129382-912001BLF</t>
  </si>
  <si>
    <t>J11,J12,J13</t>
  </si>
  <si>
    <t>Male 2x6 RA</t>
  </si>
  <si>
    <t>DSPCONN-DIL40</t>
  </si>
  <si>
    <t>J10</t>
  </si>
  <si>
    <t>Fem 2x20</t>
  </si>
  <si>
    <t>10073456-061LF</t>
  </si>
  <si>
    <t>J9</t>
  </si>
  <si>
    <t>Male 2x25</t>
  </si>
  <si>
    <t>J3</t>
  </si>
  <si>
    <t>FC68148S</t>
  </si>
  <si>
    <t>PowerJack SMD</t>
  </si>
  <si>
    <t>U1</t>
  </si>
  <si>
    <t>Tactile Switch RA</t>
  </si>
  <si>
    <t>USB - C</t>
  </si>
  <si>
    <t>J1</t>
  </si>
  <si>
    <t>J20</t>
  </si>
  <si>
    <t>SJ23574ASMTTR</t>
  </si>
  <si>
    <t>Audio Out</t>
  </si>
  <si>
    <t>U38</t>
  </si>
  <si>
    <t>Speaker</t>
  </si>
  <si>
    <t>SM231508-1</t>
  </si>
  <si>
    <t>U34</t>
  </si>
  <si>
    <t>TMUX1247DCKR</t>
  </si>
  <si>
    <t>Audio MUX</t>
  </si>
  <si>
    <t>U33</t>
  </si>
  <si>
    <t>PCA9665PW</t>
  </si>
  <si>
    <t>I2C</t>
  </si>
  <si>
    <t>Z84C0020FEC</t>
  </si>
  <si>
    <t>U15</t>
  </si>
  <si>
    <t>Z80 CPU</t>
  </si>
  <si>
    <t>AS6C8008-55ZIN</t>
  </si>
  <si>
    <t>U10</t>
  </si>
  <si>
    <t>1MB SRAM</t>
  </si>
  <si>
    <t>SST39LF040-45-4C-WH</t>
  </si>
  <si>
    <t>512Kb Flash Ram</t>
  </si>
  <si>
    <t>U11</t>
  </si>
  <si>
    <t>CRYSTAL 12MHz</t>
  </si>
  <si>
    <t>Ch376</t>
  </si>
  <si>
    <t>X1</t>
  </si>
  <si>
    <t>SN76489</t>
  </si>
  <si>
    <t>Audio Chip</t>
  </si>
  <si>
    <t>U36</t>
  </si>
  <si>
    <t>U32</t>
  </si>
  <si>
    <t>AY38912</t>
  </si>
  <si>
    <t>Ali Buy</t>
  </si>
  <si>
    <t>Cost/Unit</t>
  </si>
  <si>
    <t>Switch RA</t>
  </si>
  <si>
    <t>Sipeed tang 25k</t>
  </si>
  <si>
    <t>Motherboard</t>
  </si>
  <si>
    <t>Extra Components</t>
  </si>
  <si>
    <t>ok</t>
  </si>
  <si>
    <t>USBC24SGHZSMT</t>
  </si>
  <si>
    <t>u19</t>
  </si>
  <si>
    <t>Switch DPDT RA</t>
  </si>
  <si>
    <t>SK22D02L4</t>
  </si>
  <si>
    <t>order</t>
  </si>
  <si>
    <t>KCD1 Mini Rectangle Rocker Switch</t>
  </si>
  <si>
    <t>On CASE</t>
  </si>
  <si>
    <t>Power Switch LED12v</t>
  </si>
  <si>
    <t>Order</t>
  </si>
  <si>
    <t>U31</t>
  </si>
  <si>
    <t>ch376s</t>
  </si>
  <si>
    <t>rotate</t>
  </si>
  <si>
    <t>90+180</t>
  </si>
  <si>
    <t>U2</t>
  </si>
  <si>
    <t>180</t>
  </si>
  <si>
    <t>U35</t>
  </si>
  <si>
    <t>No</t>
  </si>
  <si>
    <t>-</t>
  </si>
  <si>
    <t>U23</t>
  </si>
  <si>
    <t>U41</t>
  </si>
  <si>
    <t>u37</t>
  </si>
  <si>
    <t>u29</t>
  </si>
  <si>
    <t>u26</t>
  </si>
  <si>
    <t>u27</t>
  </si>
  <si>
    <t>u28</t>
  </si>
  <si>
    <t>u40</t>
  </si>
  <si>
    <t>u33</t>
  </si>
  <si>
    <t>u14</t>
  </si>
  <si>
    <t>u18</t>
  </si>
  <si>
    <t>u25</t>
  </si>
  <si>
    <t>u17</t>
  </si>
  <si>
    <t>u16</t>
  </si>
  <si>
    <t>u12</t>
  </si>
  <si>
    <t>u24</t>
  </si>
  <si>
    <t>u9</t>
  </si>
  <si>
    <t>ft232bl (ERROR)</t>
  </si>
  <si>
    <t>u7</t>
  </si>
  <si>
    <t>U8</t>
  </si>
  <si>
    <t>u3</t>
  </si>
  <si>
    <t>U4</t>
  </si>
  <si>
    <t>U5</t>
  </si>
  <si>
    <t>LM-5</t>
  </si>
  <si>
    <t>Lm-3</t>
  </si>
  <si>
    <t>Bottom</t>
  </si>
  <si>
    <t>D6</t>
  </si>
  <si>
    <t>d11</t>
  </si>
  <si>
    <t>d14</t>
  </si>
  <si>
    <t>d15</t>
  </si>
  <si>
    <t>d16</t>
  </si>
  <si>
    <t>d31</t>
  </si>
  <si>
    <t>d30</t>
  </si>
  <si>
    <t>d29</t>
  </si>
  <si>
    <t>d28</t>
  </si>
  <si>
    <t>d27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</si>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</sst>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1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0" fillId="0" borderId="0" xfId="0" quotePrefix="1"/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F5B8-1868-431F-A8A6-FEE8F1551E79}">
  <dimension ref="A1:M73"/>
  <sheetViews>
    <sheetView tabSelected="1" topLeftCell="A15" workbookViewId="0">
      <selection activeCell="E8" sqref="E8"/>
    </sheetView>
  </sheetViews>
  <sheetFormatPr defaultRowHeight="15" x14ac:dyDescent="0.25"/>
  <cols>
    <col min="1" max="1" width="11.42578125" customWidth="1"/>
    <col min="2" max="2" width="17.140625" customWidth="1"/>
    <col min="3" max="3" width="20.140625" customWidth="1"/>
    <col min="10" max="10" width="13.42578125" bestFit="1" customWidth="1"/>
  </cols>
  <sheetData>
    <row r="1" spans="1:13" ht="21" x14ac:dyDescent="0.35">
      <c r="H1" s="6" t="s">
        <v>65</v>
      </c>
      <c r="I1" s="6"/>
      <c r="J1" s="6"/>
    </row>
    <row r="2" spans="1:13" s="1" customFormat="1" ht="21" x14ac:dyDescent="0.35">
      <c r="A2" s="1" t="s">
        <v>0</v>
      </c>
      <c r="B2" s="1" t="s">
        <v>1</v>
      </c>
      <c r="C2" s="1" t="s">
        <v>6</v>
      </c>
      <c r="D2" s="1" t="s">
        <v>3</v>
      </c>
      <c r="E2" s="1" t="s">
        <v>4</v>
      </c>
      <c r="F2" s="1" t="s">
        <v>5</v>
      </c>
      <c r="H2" s="1" t="s">
        <v>4</v>
      </c>
      <c r="I2" s="1" t="s">
        <v>3</v>
      </c>
      <c r="J2" s="1" t="s">
        <v>66</v>
      </c>
    </row>
    <row r="3" spans="1:13" x14ac:dyDescent="0.25">
      <c r="A3" t="s">
        <v>2</v>
      </c>
      <c r="B3" t="s">
        <v>67</v>
      </c>
      <c r="C3" t="s">
        <v>7</v>
      </c>
      <c r="D3">
        <f>J3</f>
        <v>0</v>
      </c>
      <c r="E3">
        <v>1</v>
      </c>
      <c r="F3">
        <f>D3*E3</f>
        <v>0</v>
      </c>
      <c r="J3">
        <v>0</v>
      </c>
      <c r="L3" t="s">
        <v>71</v>
      </c>
    </row>
    <row r="4" spans="1:13" x14ac:dyDescent="0.25">
      <c r="A4" t="s">
        <v>10</v>
      </c>
      <c r="B4" t="s">
        <v>9</v>
      </c>
      <c r="C4" t="s">
        <v>8</v>
      </c>
      <c r="D4">
        <f t="shared" ref="D4:D25" si="0">J4</f>
        <v>0.45199999999999996</v>
      </c>
      <c r="E4">
        <v>3</v>
      </c>
      <c r="F4">
        <f t="shared" ref="F4:F25" si="1">D4*E4</f>
        <v>1.3559999999999999</v>
      </c>
      <c r="H4">
        <v>20</v>
      </c>
      <c r="I4">
        <f>4*2.26</f>
        <v>9.0399999999999991</v>
      </c>
      <c r="J4">
        <f t="shared" ref="J4:J23" si="2">I4/H4</f>
        <v>0.45199999999999996</v>
      </c>
      <c r="L4" t="s">
        <v>71</v>
      </c>
    </row>
    <row r="5" spans="1:13" x14ac:dyDescent="0.25">
      <c r="A5" t="s">
        <v>13</v>
      </c>
      <c r="B5" t="s">
        <v>11</v>
      </c>
      <c r="C5" t="s">
        <v>12</v>
      </c>
      <c r="D5">
        <f t="shared" si="0"/>
        <v>0</v>
      </c>
      <c r="E5">
        <v>4</v>
      </c>
      <c r="F5">
        <f t="shared" si="1"/>
        <v>0</v>
      </c>
      <c r="J5">
        <v>0</v>
      </c>
      <c r="L5" t="s">
        <v>71</v>
      </c>
    </row>
    <row r="6" spans="1:13" x14ac:dyDescent="0.25">
      <c r="A6" t="s">
        <v>14</v>
      </c>
      <c r="B6" t="s">
        <v>15</v>
      </c>
      <c r="C6" t="s">
        <v>16</v>
      </c>
      <c r="D6">
        <f t="shared" si="0"/>
        <v>0.378</v>
      </c>
      <c r="E6">
        <v>2</v>
      </c>
      <c r="F6">
        <f t="shared" si="1"/>
        <v>0.75600000000000001</v>
      </c>
      <c r="H6">
        <v>10</v>
      </c>
      <c r="I6">
        <v>3.78</v>
      </c>
      <c r="J6">
        <f t="shared" si="2"/>
        <v>0.378</v>
      </c>
      <c r="L6" t="s">
        <v>71</v>
      </c>
    </row>
    <row r="7" spans="1:13" x14ac:dyDescent="0.25">
      <c r="A7" t="s">
        <v>17</v>
      </c>
      <c r="B7" t="s">
        <v>18</v>
      </c>
      <c r="C7" t="s">
        <v>19</v>
      </c>
      <c r="D7">
        <f t="shared" si="0"/>
        <v>0.61799999999999999</v>
      </c>
      <c r="E7">
        <v>1</v>
      </c>
      <c r="F7">
        <f t="shared" si="1"/>
        <v>0.61799999999999999</v>
      </c>
      <c r="H7">
        <v>5</v>
      </c>
      <c r="I7">
        <v>3.09</v>
      </c>
      <c r="J7">
        <f t="shared" si="2"/>
        <v>0.61799999999999999</v>
      </c>
      <c r="L7" t="s">
        <v>71</v>
      </c>
    </row>
    <row r="8" spans="1:13" x14ac:dyDescent="0.25">
      <c r="A8" t="s">
        <v>21</v>
      </c>
      <c r="B8" t="s">
        <v>22</v>
      </c>
      <c r="C8" t="s">
        <v>20</v>
      </c>
      <c r="D8">
        <f t="shared" si="0"/>
        <v>0.377</v>
      </c>
      <c r="E8">
        <v>3</v>
      </c>
      <c r="F8">
        <f t="shared" si="1"/>
        <v>1.131</v>
      </c>
      <c r="H8">
        <v>10</v>
      </c>
      <c r="I8">
        <v>3.77</v>
      </c>
      <c r="J8">
        <f t="shared" si="2"/>
        <v>0.377</v>
      </c>
      <c r="L8" t="s">
        <v>71</v>
      </c>
    </row>
    <row r="9" spans="1:13" x14ac:dyDescent="0.25">
      <c r="A9" t="s">
        <v>24</v>
      </c>
      <c r="B9" t="s">
        <v>25</v>
      </c>
      <c r="C9" t="s">
        <v>23</v>
      </c>
      <c r="D9">
        <f t="shared" si="0"/>
        <v>0.24900000000000003</v>
      </c>
      <c r="E9">
        <v>1</v>
      </c>
      <c r="F9">
        <f t="shared" si="1"/>
        <v>0.24900000000000003</v>
      </c>
      <c r="H9">
        <v>10</v>
      </c>
      <c r="I9">
        <v>2.4900000000000002</v>
      </c>
      <c r="J9">
        <f t="shared" si="2"/>
        <v>0.24900000000000003</v>
      </c>
      <c r="L9" t="s">
        <v>71</v>
      </c>
    </row>
    <row r="10" spans="1:13" x14ac:dyDescent="0.25">
      <c r="A10" t="s">
        <v>27</v>
      </c>
      <c r="B10" t="s">
        <v>28</v>
      </c>
      <c r="C10" t="s">
        <v>26</v>
      </c>
      <c r="D10">
        <f t="shared" si="0"/>
        <v>0.36100000000000004</v>
      </c>
      <c r="E10">
        <v>1</v>
      </c>
      <c r="F10">
        <f t="shared" si="1"/>
        <v>0.36100000000000004</v>
      </c>
      <c r="H10">
        <v>10</v>
      </c>
      <c r="I10">
        <f>2.64+0.97</f>
        <v>3.6100000000000003</v>
      </c>
      <c r="J10">
        <f t="shared" si="2"/>
        <v>0.36100000000000004</v>
      </c>
      <c r="L10" t="s">
        <v>71</v>
      </c>
    </row>
    <row r="11" spans="1:13" x14ac:dyDescent="0.25">
      <c r="A11" t="s">
        <v>29</v>
      </c>
      <c r="B11" t="s">
        <v>31</v>
      </c>
      <c r="C11" t="s">
        <v>30</v>
      </c>
      <c r="D11">
        <f t="shared" si="0"/>
        <v>0.22799999999999998</v>
      </c>
      <c r="E11">
        <v>1</v>
      </c>
      <c r="F11">
        <f t="shared" si="1"/>
        <v>0.22799999999999998</v>
      </c>
      <c r="H11">
        <v>10</v>
      </c>
      <c r="I11">
        <v>2.2799999999999998</v>
      </c>
      <c r="J11">
        <f t="shared" si="2"/>
        <v>0.22799999999999998</v>
      </c>
      <c r="M11" t="s">
        <v>76</v>
      </c>
    </row>
    <row r="12" spans="1:13" x14ac:dyDescent="0.25">
      <c r="A12" t="s">
        <v>73</v>
      </c>
      <c r="B12" t="s">
        <v>74</v>
      </c>
      <c r="C12" t="s">
        <v>75</v>
      </c>
      <c r="D12">
        <f t="shared" si="0"/>
        <v>0.252</v>
      </c>
      <c r="E12">
        <v>1</v>
      </c>
      <c r="F12">
        <f t="shared" si="1"/>
        <v>0.252</v>
      </c>
      <c r="H12">
        <v>10</v>
      </c>
      <c r="I12">
        <f>0.92+1.6</f>
        <v>2.52</v>
      </c>
      <c r="J12">
        <f t="shared" si="2"/>
        <v>0.252</v>
      </c>
      <c r="M12" t="s">
        <v>76</v>
      </c>
    </row>
    <row r="13" spans="1:13" x14ac:dyDescent="0.25">
      <c r="A13" t="s">
        <v>32</v>
      </c>
      <c r="B13" t="s">
        <v>33</v>
      </c>
      <c r="C13">
        <v>18250275</v>
      </c>
      <c r="D13">
        <f t="shared" si="0"/>
        <v>9.8000000000000004E-2</v>
      </c>
      <c r="E13">
        <v>1</v>
      </c>
      <c r="F13">
        <f t="shared" si="1"/>
        <v>9.8000000000000004E-2</v>
      </c>
      <c r="H13">
        <v>90</v>
      </c>
      <c r="I13">
        <v>8.82</v>
      </c>
      <c r="J13">
        <f t="shared" si="2"/>
        <v>9.8000000000000004E-2</v>
      </c>
      <c r="L13" t="s">
        <v>71</v>
      </c>
    </row>
    <row r="14" spans="1:13" x14ac:dyDescent="0.25">
      <c r="A14" t="s">
        <v>78</v>
      </c>
      <c r="B14" t="s">
        <v>77</v>
      </c>
      <c r="C14" t="s">
        <v>79</v>
      </c>
      <c r="D14">
        <f t="shared" si="0"/>
        <v>0.67500000000000004</v>
      </c>
      <c r="E14">
        <v>1</v>
      </c>
      <c r="F14">
        <f t="shared" si="1"/>
        <v>0.67500000000000004</v>
      </c>
      <c r="H14">
        <v>4</v>
      </c>
      <c r="I14">
        <v>2.7</v>
      </c>
      <c r="J14">
        <f t="shared" si="2"/>
        <v>0.67500000000000004</v>
      </c>
      <c r="M14" t="s">
        <v>80</v>
      </c>
    </row>
    <row r="15" spans="1:13" x14ac:dyDescent="0.25">
      <c r="A15" t="s">
        <v>35</v>
      </c>
      <c r="B15" t="s">
        <v>34</v>
      </c>
      <c r="C15" t="s">
        <v>72</v>
      </c>
      <c r="D15">
        <f t="shared" si="0"/>
        <v>0.36699999999999999</v>
      </c>
      <c r="E15">
        <v>1</v>
      </c>
      <c r="F15">
        <f t="shared" si="1"/>
        <v>0.36699999999999999</v>
      </c>
      <c r="H15">
        <v>10</v>
      </c>
      <c r="I15">
        <v>3.67</v>
      </c>
      <c r="J15">
        <f>I15/H15</f>
        <v>0.36699999999999999</v>
      </c>
      <c r="L15" t="s">
        <v>71</v>
      </c>
    </row>
    <row r="16" spans="1:13" x14ac:dyDescent="0.25">
      <c r="A16" t="s">
        <v>36</v>
      </c>
      <c r="B16" t="s">
        <v>38</v>
      </c>
      <c r="C16" t="s">
        <v>37</v>
      </c>
      <c r="D16">
        <f t="shared" si="0"/>
        <v>0.19</v>
      </c>
      <c r="E16">
        <v>1</v>
      </c>
      <c r="F16">
        <f t="shared" si="1"/>
        <v>0.19</v>
      </c>
      <c r="H16">
        <v>10</v>
      </c>
      <c r="I16">
        <f>0.67+1.23</f>
        <v>1.9</v>
      </c>
      <c r="J16">
        <f t="shared" si="2"/>
        <v>0.19</v>
      </c>
      <c r="L16" t="s">
        <v>71</v>
      </c>
    </row>
    <row r="17" spans="1:12" x14ac:dyDescent="0.25">
      <c r="A17" t="s">
        <v>39</v>
      </c>
      <c r="B17" t="s">
        <v>40</v>
      </c>
      <c r="C17" t="s">
        <v>41</v>
      </c>
      <c r="D17">
        <f t="shared" si="0"/>
        <v>1.0900000000000001</v>
      </c>
      <c r="E17">
        <v>1</v>
      </c>
      <c r="F17">
        <f t="shared" si="1"/>
        <v>1.0900000000000001</v>
      </c>
      <c r="H17">
        <v>5</v>
      </c>
      <c r="I17">
        <f>3.16+2.29</f>
        <v>5.45</v>
      </c>
      <c r="J17">
        <f t="shared" si="2"/>
        <v>1.0900000000000001</v>
      </c>
      <c r="L17" t="s">
        <v>71</v>
      </c>
    </row>
    <row r="18" spans="1:12" x14ac:dyDescent="0.25">
      <c r="A18" t="s">
        <v>42</v>
      </c>
      <c r="B18" t="s">
        <v>44</v>
      </c>
      <c r="C18" t="s">
        <v>43</v>
      </c>
      <c r="D18">
        <f t="shared" si="0"/>
        <v>1.6560000000000001</v>
      </c>
      <c r="E18">
        <v>1</v>
      </c>
      <c r="F18">
        <f t="shared" si="1"/>
        <v>1.6560000000000001</v>
      </c>
      <c r="H18">
        <v>5</v>
      </c>
      <c r="I18">
        <f>5*0.92+3.68</f>
        <v>8.2800000000000011</v>
      </c>
      <c r="J18">
        <f t="shared" si="2"/>
        <v>1.6560000000000001</v>
      </c>
      <c r="L18" t="s">
        <v>71</v>
      </c>
    </row>
    <row r="19" spans="1:12" x14ac:dyDescent="0.25">
      <c r="A19" t="s">
        <v>45</v>
      </c>
      <c r="B19" t="s">
        <v>47</v>
      </c>
      <c r="C19" t="s">
        <v>46</v>
      </c>
      <c r="D19">
        <f t="shared" si="0"/>
        <v>1.6359999999999999</v>
      </c>
      <c r="E19">
        <v>1</v>
      </c>
      <c r="F19">
        <f t="shared" si="1"/>
        <v>1.6359999999999999</v>
      </c>
      <c r="H19">
        <v>5</v>
      </c>
      <c r="I19">
        <f>5*1.06+2.88</f>
        <v>8.18</v>
      </c>
      <c r="J19">
        <f t="shared" si="2"/>
        <v>1.6359999999999999</v>
      </c>
    </row>
    <row r="20" spans="1:12" x14ac:dyDescent="0.25">
      <c r="A20" t="s">
        <v>49</v>
      </c>
      <c r="B20" t="s">
        <v>50</v>
      </c>
      <c r="C20" t="s">
        <v>48</v>
      </c>
      <c r="D20">
        <f t="shared" si="0"/>
        <v>4.2799999999999994</v>
      </c>
      <c r="E20">
        <v>1</v>
      </c>
      <c r="F20">
        <f t="shared" si="1"/>
        <v>4.2799999999999994</v>
      </c>
      <c r="H20">
        <v>5</v>
      </c>
      <c r="I20">
        <f>5*3.31+4.85</f>
        <v>21.4</v>
      </c>
      <c r="J20">
        <f t="shared" si="2"/>
        <v>4.2799999999999994</v>
      </c>
      <c r="L20" t="s">
        <v>71</v>
      </c>
    </row>
    <row r="21" spans="1:12" x14ac:dyDescent="0.25">
      <c r="A21" t="s">
        <v>52</v>
      </c>
      <c r="B21" t="s">
        <v>53</v>
      </c>
      <c r="C21" t="s">
        <v>51</v>
      </c>
      <c r="D21">
        <f t="shared" si="0"/>
        <v>4.3479999999999999</v>
      </c>
      <c r="E21">
        <v>1</v>
      </c>
      <c r="F21">
        <f t="shared" si="1"/>
        <v>4.3479999999999999</v>
      </c>
      <c r="H21">
        <v>5</v>
      </c>
      <c r="I21">
        <v>21.74</v>
      </c>
      <c r="J21">
        <f t="shared" si="2"/>
        <v>4.3479999999999999</v>
      </c>
      <c r="L21" t="s">
        <v>71</v>
      </c>
    </row>
    <row r="22" spans="1:12" x14ac:dyDescent="0.25">
      <c r="A22" t="s">
        <v>56</v>
      </c>
      <c r="B22" t="s">
        <v>55</v>
      </c>
      <c r="C22" t="s">
        <v>54</v>
      </c>
      <c r="D22">
        <f t="shared" si="0"/>
        <v>3.0539999999999998</v>
      </c>
      <c r="E22">
        <v>1</v>
      </c>
      <c r="F22">
        <f t="shared" si="1"/>
        <v>3.0539999999999998</v>
      </c>
      <c r="H22">
        <v>5</v>
      </c>
      <c r="I22">
        <f>10.39+4.88</f>
        <v>15.27</v>
      </c>
      <c r="J22">
        <f t="shared" si="2"/>
        <v>3.0539999999999998</v>
      </c>
      <c r="L22" t="s">
        <v>71</v>
      </c>
    </row>
    <row r="23" spans="1:12" x14ac:dyDescent="0.25">
      <c r="A23" t="s">
        <v>59</v>
      </c>
      <c r="B23" t="s">
        <v>58</v>
      </c>
      <c r="C23" t="s">
        <v>57</v>
      </c>
      <c r="D23">
        <f t="shared" si="0"/>
        <v>0.19900000000000001</v>
      </c>
      <c r="E23">
        <v>1</v>
      </c>
      <c r="F23">
        <f t="shared" si="1"/>
        <v>0.19900000000000001</v>
      </c>
      <c r="H23">
        <v>10</v>
      </c>
      <c r="I23">
        <v>1.99</v>
      </c>
      <c r="J23">
        <f t="shared" si="2"/>
        <v>0.19900000000000001</v>
      </c>
      <c r="L23" t="s">
        <v>71</v>
      </c>
    </row>
    <row r="24" spans="1:12" x14ac:dyDescent="0.25">
      <c r="A24" t="s">
        <v>62</v>
      </c>
      <c r="B24" t="s">
        <v>61</v>
      </c>
      <c r="C24" t="s">
        <v>60</v>
      </c>
      <c r="D24">
        <f t="shared" si="0"/>
        <v>0</v>
      </c>
      <c r="E24">
        <v>1</v>
      </c>
      <c r="F24">
        <f t="shared" si="1"/>
        <v>0</v>
      </c>
      <c r="J24">
        <v>0</v>
      </c>
      <c r="L24" t="s">
        <v>71</v>
      </c>
    </row>
    <row r="25" spans="1:12" x14ac:dyDescent="0.25">
      <c r="A25" t="s">
        <v>63</v>
      </c>
      <c r="B25" t="s">
        <v>61</v>
      </c>
      <c r="C25" t="s">
        <v>64</v>
      </c>
      <c r="D25">
        <f t="shared" si="0"/>
        <v>0</v>
      </c>
      <c r="E25">
        <v>1</v>
      </c>
      <c r="F25">
        <f t="shared" si="1"/>
        <v>0</v>
      </c>
      <c r="J25">
        <v>0</v>
      </c>
    </row>
    <row r="26" spans="1:12" x14ac:dyDescent="0.25">
      <c r="F26">
        <f>SUM(F3:F25)</f>
        <v>22.543999999999997</v>
      </c>
      <c r="I26">
        <f>SUM(I3:I25)</f>
        <v>129.98000000000002</v>
      </c>
    </row>
    <row r="27" spans="1:12" x14ac:dyDescent="0.25">
      <c r="E27">
        <v>5</v>
      </c>
      <c r="F27">
        <f>E27*F26</f>
        <v>112.71999999999998</v>
      </c>
      <c r="I27">
        <v>131.02000000000001</v>
      </c>
    </row>
    <row r="29" spans="1:12" ht="15.75" x14ac:dyDescent="0.25">
      <c r="C29" s="2"/>
      <c r="D29" s="3" t="s">
        <v>70</v>
      </c>
      <c r="E29" s="2"/>
      <c r="F29" s="2">
        <f>F26</f>
        <v>22.543999999999997</v>
      </c>
      <c r="I29">
        <f>I26</f>
        <v>129.98000000000002</v>
      </c>
      <c r="J29">
        <f>I29</f>
        <v>129.98000000000002</v>
      </c>
    </row>
    <row r="30" spans="1:12" ht="15.75" x14ac:dyDescent="0.25">
      <c r="C30" s="2"/>
      <c r="D30" s="3" t="s">
        <v>68</v>
      </c>
      <c r="E30" s="2"/>
      <c r="F30" s="2">
        <v>38.47</v>
      </c>
      <c r="G30">
        <f>30.91+7.43</f>
        <v>38.340000000000003</v>
      </c>
      <c r="I30">
        <f>5*F30</f>
        <v>192.35</v>
      </c>
      <c r="J30">
        <f>I30</f>
        <v>192.35</v>
      </c>
    </row>
    <row r="31" spans="1:12" ht="15.75" x14ac:dyDescent="0.25">
      <c r="C31" s="2"/>
      <c r="D31" s="3" t="s">
        <v>69</v>
      </c>
      <c r="E31" s="2"/>
      <c r="F31" s="2">
        <f>298.55/5</f>
        <v>59.71</v>
      </c>
      <c r="I31">
        <f>298.55</f>
        <v>298.55</v>
      </c>
      <c r="J31">
        <f>298.06+18.54</f>
        <v>316.60000000000002</v>
      </c>
    </row>
    <row r="33" spans="1:10" ht="15.75" x14ac:dyDescent="0.25">
      <c r="F33" s="4">
        <f>SUM(F29:F31)</f>
        <v>120.72399999999999</v>
      </c>
      <c r="I33">
        <f>SUM(I29:I31)</f>
        <v>620.88000000000011</v>
      </c>
      <c r="J33">
        <f>SUM(J29:J31)</f>
        <v>638.93000000000006</v>
      </c>
    </row>
    <row r="35" spans="1:10" x14ac:dyDescent="0.25">
      <c r="C35" t="s">
        <v>83</v>
      </c>
    </row>
    <row r="36" spans="1:10" x14ac:dyDescent="0.25">
      <c r="A36" t="s">
        <v>81</v>
      </c>
      <c r="B36" t="s">
        <v>82</v>
      </c>
      <c r="C36" t="s">
        <v>84</v>
      </c>
      <c r="D36">
        <v>270</v>
      </c>
    </row>
    <row r="37" spans="1:10" x14ac:dyDescent="0.25">
      <c r="A37" t="s">
        <v>85</v>
      </c>
      <c r="C37" s="5" t="s">
        <v>86</v>
      </c>
      <c r="D37">
        <v>180</v>
      </c>
    </row>
    <row r="38" spans="1:10" x14ac:dyDescent="0.25">
      <c r="A38" t="s">
        <v>87</v>
      </c>
      <c r="C38" t="s">
        <v>84</v>
      </c>
      <c r="D38" s="5">
        <v>270</v>
      </c>
    </row>
    <row r="39" spans="1:10" x14ac:dyDescent="0.25">
      <c r="A39" t="s">
        <v>90</v>
      </c>
      <c r="C39" s="5" t="s">
        <v>86</v>
      </c>
      <c r="D39">
        <v>180</v>
      </c>
    </row>
    <row r="40" spans="1:10" x14ac:dyDescent="0.25">
      <c r="A40" t="s">
        <v>91</v>
      </c>
      <c r="C40" s="5" t="s">
        <v>86</v>
      </c>
      <c r="D40">
        <v>180</v>
      </c>
    </row>
    <row r="41" spans="1:10" x14ac:dyDescent="0.25">
      <c r="A41" t="s">
        <v>92</v>
      </c>
      <c r="C41" s="5" t="s">
        <v>86</v>
      </c>
      <c r="D41">
        <v>180</v>
      </c>
    </row>
    <row r="42" spans="1:10" x14ac:dyDescent="0.25">
      <c r="A42" t="s">
        <v>93</v>
      </c>
      <c r="C42" t="s">
        <v>84</v>
      </c>
      <c r="D42">
        <v>270</v>
      </c>
    </row>
    <row r="43" spans="1:10" x14ac:dyDescent="0.25">
      <c r="A43" t="s">
        <v>94</v>
      </c>
      <c r="C43" t="s">
        <v>84</v>
      </c>
      <c r="D43">
        <v>270</v>
      </c>
    </row>
    <row r="44" spans="1:10" x14ac:dyDescent="0.25">
      <c r="A44" t="s">
        <v>95</v>
      </c>
      <c r="C44" t="s">
        <v>84</v>
      </c>
      <c r="D44">
        <v>270</v>
      </c>
    </row>
    <row r="45" spans="1:10" x14ac:dyDescent="0.25">
      <c r="A45" t="s">
        <v>96</v>
      </c>
      <c r="C45" t="s">
        <v>84</v>
      </c>
      <c r="D45">
        <v>270</v>
      </c>
    </row>
    <row r="46" spans="1:10" x14ac:dyDescent="0.25">
      <c r="A46" t="s">
        <v>97</v>
      </c>
      <c r="C46" t="s">
        <v>84</v>
      </c>
      <c r="D46">
        <v>270</v>
      </c>
    </row>
    <row r="47" spans="1:10" x14ac:dyDescent="0.25">
      <c r="A47" t="s">
        <v>98</v>
      </c>
      <c r="C47" t="s">
        <v>84</v>
      </c>
      <c r="D47">
        <v>270</v>
      </c>
    </row>
    <row r="48" spans="1:10" x14ac:dyDescent="0.25">
      <c r="A48" t="s">
        <v>99</v>
      </c>
      <c r="C48" s="5" t="s">
        <v>86</v>
      </c>
      <c r="D48">
        <v>180</v>
      </c>
    </row>
    <row r="49" spans="1:4" x14ac:dyDescent="0.25">
      <c r="A49" t="s">
        <v>100</v>
      </c>
      <c r="C49" t="s">
        <v>84</v>
      </c>
      <c r="D49">
        <v>270</v>
      </c>
    </row>
    <row r="50" spans="1:4" x14ac:dyDescent="0.25">
      <c r="A50" t="s">
        <v>101</v>
      </c>
      <c r="C50" t="s">
        <v>84</v>
      </c>
      <c r="D50">
        <v>270</v>
      </c>
    </row>
    <row r="51" spans="1:4" x14ac:dyDescent="0.25">
      <c r="A51" t="s">
        <v>102</v>
      </c>
      <c r="C51" t="s">
        <v>84</v>
      </c>
      <c r="D51">
        <v>270</v>
      </c>
    </row>
    <row r="52" spans="1:4" x14ac:dyDescent="0.25">
      <c r="A52" t="s">
        <v>103</v>
      </c>
      <c r="C52" t="s">
        <v>84</v>
      </c>
      <c r="D52">
        <v>270</v>
      </c>
    </row>
    <row r="53" spans="1:4" x14ac:dyDescent="0.25">
      <c r="A53" t="s">
        <v>104</v>
      </c>
      <c r="C53" t="s">
        <v>84</v>
      </c>
      <c r="D53">
        <v>270</v>
      </c>
    </row>
    <row r="54" spans="1:4" x14ac:dyDescent="0.25">
      <c r="A54" t="s">
        <v>105</v>
      </c>
      <c r="C54" t="s">
        <v>88</v>
      </c>
      <c r="D54" s="5" t="s">
        <v>89</v>
      </c>
    </row>
    <row r="55" spans="1:4" x14ac:dyDescent="0.25">
      <c r="A55" t="s">
        <v>106</v>
      </c>
      <c r="B55" t="s">
        <v>107</v>
      </c>
    </row>
    <row r="56" spans="1:4" x14ac:dyDescent="0.25">
      <c r="A56" t="s">
        <v>108</v>
      </c>
      <c r="C56" t="s">
        <v>84</v>
      </c>
      <c r="D56">
        <v>270</v>
      </c>
    </row>
    <row r="57" spans="1:4" x14ac:dyDescent="0.25">
      <c r="A57" t="s">
        <v>109</v>
      </c>
      <c r="C57" t="s">
        <v>84</v>
      </c>
      <c r="D57">
        <v>270</v>
      </c>
    </row>
    <row r="58" spans="1:4" x14ac:dyDescent="0.25">
      <c r="A58" t="s">
        <v>110</v>
      </c>
      <c r="C58" t="s">
        <v>84</v>
      </c>
      <c r="D58">
        <v>270</v>
      </c>
    </row>
    <row r="59" spans="1:4" x14ac:dyDescent="0.25">
      <c r="A59" t="s">
        <v>111</v>
      </c>
      <c r="B59" t="s">
        <v>113</v>
      </c>
      <c r="C59" t="s">
        <v>88</v>
      </c>
      <c r="D59" s="5" t="s">
        <v>89</v>
      </c>
    </row>
    <row r="60" spans="1:4" x14ac:dyDescent="0.25">
      <c r="A60" t="s">
        <v>112</v>
      </c>
      <c r="B60" t="s">
        <v>114</v>
      </c>
      <c r="C60" t="s">
        <v>88</v>
      </c>
      <c r="D60" s="5" t="s">
        <v>89</v>
      </c>
    </row>
    <row r="62" spans="1:4" x14ac:dyDescent="0.25">
      <c r="A62" t="s">
        <v>115</v>
      </c>
    </row>
    <row r="63" spans="1:4" x14ac:dyDescent="0.25">
      <c r="A63" t="s">
        <v>116</v>
      </c>
      <c r="C63" s="5" t="s">
        <v>86</v>
      </c>
      <c r="D63">
        <v>180</v>
      </c>
    </row>
    <row r="64" spans="1:4" x14ac:dyDescent="0.25">
      <c r="A64" t="s">
        <v>117</v>
      </c>
      <c r="C64" s="5" t="s">
        <v>86</v>
      </c>
      <c r="D64">
        <v>180</v>
      </c>
    </row>
    <row r="65" spans="1:4" x14ac:dyDescent="0.25">
      <c r="A65" t="s">
        <v>118</v>
      </c>
      <c r="C65" s="5" t="s">
        <v>86</v>
      </c>
      <c r="D65">
        <v>180</v>
      </c>
    </row>
    <row r="66" spans="1:4" x14ac:dyDescent="0.25">
      <c r="A66" t="s">
        <v>119</v>
      </c>
      <c r="C66" s="5" t="s">
        <v>86</v>
      </c>
      <c r="D66">
        <v>180</v>
      </c>
    </row>
    <row r="67" spans="1:4" x14ac:dyDescent="0.25">
      <c r="A67" t="s">
        <v>120</v>
      </c>
      <c r="C67" s="5" t="s">
        <v>86</v>
      </c>
      <c r="D67">
        <v>180</v>
      </c>
    </row>
    <row r="68" spans="1:4" x14ac:dyDescent="0.25">
      <c r="A68" t="s">
        <v>121</v>
      </c>
      <c r="C68" s="5" t="s">
        <v>86</v>
      </c>
      <c r="D68">
        <v>180</v>
      </c>
    </row>
    <row r="69" spans="1:4" x14ac:dyDescent="0.25">
      <c r="A69" t="s">
        <v>122</v>
      </c>
      <c r="C69" s="5" t="s">
        <v>86</v>
      </c>
      <c r="D69">
        <v>180</v>
      </c>
    </row>
    <row r="70" spans="1:4" x14ac:dyDescent="0.25">
      <c r="A70" t="s">
        <v>123</v>
      </c>
      <c r="C70" s="5" t="s">
        <v>86</v>
      </c>
      <c r="D70">
        <v>180</v>
      </c>
    </row>
    <row r="71" spans="1:4" x14ac:dyDescent="0.25">
      <c r="A71" t="s">
        <v>124</v>
      </c>
      <c r="C71" s="5" t="s">
        <v>86</v>
      </c>
      <c r="D71">
        <v>180</v>
      </c>
    </row>
    <row r="72" spans="1:4" x14ac:dyDescent="0.25">
      <c r="A72" t="s">
        <v>125</v>
      </c>
      <c r="C72" s="5" t="s">
        <v>86</v>
      </c>
      <c r="D72">
        <v>180</v>
      </c>
    </row>
    <row r="73" spans="1:4" x14ac:dyDescent="0.25">
      <c r="A73" t="s">
        <v>126</v>
      </c>
      <c r="C73" s="5" t="s">
        <v>88</v>
      </c>
      <c r="D73" s="5" t="s">
        <v>89</v>
      </c>
    </row>
  </sheetData>
  <mergeCells count="1">
    <mergeCell ref="H1:J1"/>
  </mergeCells>
  <phoneticPr fontId="4" type="noConversion"/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Despoinidis</dc:creator>
  <cp:lastModifiedBy>Christos Despoinidis</cp:lastModifiedBy>
  <dcterms:created xsi:type="dcterms:W3CDTF">2025-12-25T09:57:20Z</dcterms:created>
  <dcterms:modified xsi:type="dcterms:W3CDTF">2026-03-13T15:43:25Z</dcterms:modified>
</cp:coreProperties>
</file>